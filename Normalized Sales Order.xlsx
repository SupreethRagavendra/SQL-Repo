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pre\Downloads\"/>
    </mc:Choice>
  </mc:AlternateContent>
  <xr:revisionPtr revIDLastSave="0" documentId="13_ncr:1_{E08EB0DB-E19D-4953-BDEC-B9C0E566C578}" xr6:coauthVersionLast="47" xr6:coauthVersionMax="47" xr10:uidLastSave="{00000000-0000-0000-0000-000000000000}"/>
  <bookViews>
    <workbookView xWindow="-110" yWindow="-110" windowWidth="19420" windowHeight="11020" activeTab="3" xr2:uid="{D494F056-03D2-4170-BEE4-4BFECC84F1FC}"/>
  </bookViews>
  <sheets>
    <sheet name="Denormalized" sheetId="1" r:id="rId1"/>
    <sheet name="1NF" sheetId="5" r:id="rId2"/>
    <sheet name="Sheet2" sheetId="6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D11" i="5"/>
</calcChain>
</file>

<file path=xl/sharedStrings.xml><?xml version="1.0" encoding="utf-8"?>
<sst xmlns="http://schemas.openxmlformats.org/spreadsheetml/2006/main" count="533" uniqueCount="131">
  <si>
    <t>DeNormalised Sales Order Dataset</t>
  </si>
  <si>
    <t>ORDER_NUMBER</t>
  </si>
  <si>
    <t>QUANTITY</t>
  </si>
  <si>
    <t>ITEM_PRICE</t>
  </si>
  <si>
    <t>TOTAL_COST</t>
  </si>
  <si>
    <t>4,4</t>
  </si>
  <si>
    <t>ORDER_DATE</t>
  </si>
  <si>
    <t>STATUS</t>
  </si>
  <si>
    <t>Shipped</t>
  </si>
  <si>
    <t>Cancelled</t>
  </si>
  <si>
    <t>On Hold</t>
  </si>
  <si>
    <t>PRODUCT_CODE</t>
  </si>
  <si>
    <t>PRD_1001</t>
  </si>
  <si>
    <t>PRD_1002</t>
  </si>
  <si>
    <t>PRD_1003</t>
  </si>
  <si>
    <t>PRD_1004</t>
  </si>
  <si>
    <t>PRD_1005</t>
  </si>
  <si>
    <t>PRD_1004, PRD_1005</t>
  </si>
  <si>
    <t>PRODUCT_NAME</t>
  </si>
  <si>
    <t>Motorcycles</t>
  </si>
  <si>
    <t>Vintage Cars</t>
  </si>
  <si>
    <t>Classic Cars</t>
  </si>
  <si>
    <t>Buses</t>
  </si>
  <si>
    <t>Trucks</t>
  </si>
  <si>
    <t>Buses, Trucks</t>
  </si>
  <si>
    <t>PRODUCT_PRICE</t>
  </si>
  <si>
    <t>CUSTOMER_NAME</t>
  </si>
  <si>
    <t>Land of Toys Inc.</t>
  </si>
  <si>
    <t>Reims Collectables</t>
  </si>
  <si>
    <t>Lyon Souveniers</t>
  </si>
  <si>
    <t>Toys4GrownUps.com</t>
  </si>
  <si>
    <t>Corporate Gift Ideas Co.</t>
  </si>
  <si>
    <t>Auto Canal Petit</t>
  </si>
  <si>
    <t>PHONE</t>
  </si>
  <si>
    <t>ADDRESSLINE1</t>
  </si>
  <si>
    <t>897 Long Airport Avenue</t>
  </si>
  <si>
    <t>59 rue de I'Abbaye</t>
  </si>
  <si>
    <t>27 rue du Colonel Pierre Avia</t>
  </si>
  <si>
    <t>78934 Hillside Dr.</t>
  </si>
  <si>
    <t>7734 String St.</t>
  </si>
  <si>
    <t>25, rue Lauriston</t>
  </si>
  <si>
    <t>ADDRESSLINE2</t>
  </si>
  <si>
    <t>CITY</t>
  </si>
  <si>
    <t>NYC</t>
  </si>
  <si>
    <t>Reims</t>
  </si>
  <si>
    <t>Paris</t>
  </si>
  <si>
    <t>Pasadena</t>
  </si>
  <si>
    <t>San Francisco</t>
  </si>
  <si>
    <t>STATE</t>
  </si>
  <si>
    <t>NY</t>
  </si>
  <si>
    <t>CA</t>
  </si>
  <si>
    <t>POSTALCODE</t>
  </si>
  <si>
    <t>COUNTRY</t>
  </si>
  <si>
    <t>USA</t>
  </si>
  <si>
    <t>France</t>
  </si>
  <si>
    <t>TERRITORY</t>
  </si>
  <si>
    <t>NA</t>
  </si>
  <si>
    <t>EMEA</t>
  </si>
  <si>
    <t>Yu</t>
  </si>
  <si>
    <t>Henriot</t>
  </si>
  <si>
    <t>Da Cunha</t>
  </si>
  <si>
    <t>Young</t>
  </si>
  <si>
    <t>Brown</t>
  </si>
  <si>
    <t>Perrier</t>
  </si>
  <si>
    <t>SALES_CONTACT_LASTNAME</t>
  </si>
  <si>
    <t>SALES_CONTACT_FIRSTNAME</t>
  </si>
  <si>
    <t>Kwai</t>
  </si>
  <si>
    <t>Paul</t>
  </si>
  <si>
    <t>Daniel</t>
  </si>
  <si>
    <t>Julie</t>
  </si>
  <si>
    <t>Dominique</t>
  </si>
  <si>
    <t>DEAL_SIZE</t>
  </si>
  <si>
    <t>Small</t>
  </si>
  <si>
    <t>Medium</t>
  </si>
  <si>
    <t>High</t>
  </si>
  <si>
    <t>2. Each row should be unique. Either via a single / multiple columns. Not mandatory to have a primary key</t>
  </si>
  <si>
    <t>1. Every column / attribute should have single value</t>
  </si>
  <si>
    <t>780, 850</t>
  </si>
  <si>
    <t xml:space="preserve">2NF </t>
  </si>
  <si>
    <t>1. Must be in 1NF</t>
  </si>
  <si>
    <t>2. All non key attributes must be fully dependent on candidate key</t>
  </si>
  <si>
    <t>3. Every table should have primary key and relationship between the tables should be formed using foreign key</t>
  </si>
  <si>
    <t>Candidate Key:</t>
  </si>
  <si>
    <t>Set of columns which unique indentify a record</t>
  </si>
  <si>
    <t>A table can have multiple candidate keys because there can be multiple set of columns which uniquely identify a record / row in a table</t>
  </si>
  <si>
    <t>Non-key columns:</t>
  </si>
  <si>
    <t>Columns which are not part of the candidate key / primary key</t>
  </si>
  <si>
    <t>Partial Dependency</t>
  </si>
  <si>
    <t>If your candidate key is a combination of 2columns ( or multiple columns) then every non key column (column which arenot part of the candidate key) should be fully dependent on all the column</t>
  </si>
  <si>
    <t>if there is any non key column which depends only on one of the candidate key coolumns then this results in partial dependency</t>
  </si>
  <si>
    <t xml:space="preserve">                         ie., if a non key is partially dependent on candidate key(subset of columns forming candidate key) then split them into separate tables</t>
  </si>
  <si>
    <t>Candidate key = Order Number || Product_code</t>
  </si>
  <si>
    <t>ORDERS</t>
  </si>
  <si>
    <t>CUSTOMERS</t>
  </si>
  <si>
    <t>PRODUCTS</t>
  </si>
  <si>
    <t>ORDER_ID</t>
  </si>
  <si>
    <t>ORDER_NUMBER2</t>
  </si>
  <si>
    <t>CUSTOMER_ID</t>
  </si>
  <si>
    <t>C1</t>
  </si>
  <si>
    <t>C2</t>
  </si>
  <si>
    <t>C3</t>
  </si>
  <si>
    <t>C4</t>
  </si>
  <si>
    <t>C5</t>
  </si>
  <si>
    <t>C6</t>
  </si>
  <si>
    <t>RELATIONSHIPS</t>
  </si>
  <si>
    <t>3NF</t>
  </si>
  <si>
    <t>1. Must be in 2NF</t>
  </si>
  <si>
    <t>2. Avoid Transitive dependencies.</t>
  </si>
  <si>
    <t>Transitive Dependency</t>
  </si>
  <si>
    <t>Lets say you have a table T which has 3 columns namely A,B and C.</t>
  </si>
  <si>
    <t>If A is functionally dependent on B and B is functionally dependent on C ,</t>
  </si>
  <si>
    <t>then A is functionally dependent on C</t>
  </si>
  <si>
    <t>A = B</t>
  </si>
  <si>
    <t>B = C</t>
  </si>
  <si>
    <t>A = C</t>
  </si>
  <si>
    <t>A</t>
  </si>
  <si>
    <t>B</t>
  </si>
  <si>
    <t>C</t>
  </si>
  <si>
    <t xml:space="preserve"> </t>
  </si>
  <si>
    <t>EMP_ID</t>
  </si>
  <si>
    <t>E1</t>
  </si>
  <si>
    <t>E2</t>
  </si>
  <si>
    <t>E3</t>
  </si>
  <si>
    <t>E4</t>
  </si>
  <si>
    <t>E5</t>
  </si>
  <si>
    <t>E6</t>
  </si>
  <si>
    <t>SALES</t>
  </si>
  <si>
    <t>PK + FK</t>
  </si>
  <si>
    <t>FK</t>
  </si>
  <si>
    <t xml:space="preserve"> PRD_1005</t>
  </si>
  <si>
    <t>Table-ORDERS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</si>
</sst>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4" borderId="0" xfId="0" applyFill="1"/>
    <xf numFmtId="0" fontId="3" fillId="6" borderId="0" xfId="0" applyFont="1" applyFill="1"/>
    <xf numFmtId="0" fontId="1" fillId="0" borderId="0" xfId="0" applyFont="1" applyAlignment="1">
      <alignment horizontal="left"/>
    </xf>
    <xf numFmtId="0" fontId="0" fillId="5" borderId="0" xfId="0" applyFill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/>
    <xf numFmtId="0" fontId="2" fillId="7" borderId="2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2" fillId="7" borderId="3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14" fontId="0" fillId="0" borderId="2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12" borderId="0" xfId="0" applyFont="1" applyFill="1"/>
    <xf numFmtId="0" fontId="2" fillId="7" borderId="2" xfId="0" applyFont="1" applyFill="1" applyBorder="1"/>
    <xf numFmtId="0" fontId="1" fillId="1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left"/>
    </xf>
    <xf numFmtId="3" fontId="0" fillId="0" borderId="7" xfId="0" applyNumberFormat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3" fontId="0" fillId="0" borderId="2" xfId="0" applyNumberFormat="1" applyFill="1" applyBorder="1" applyAlignment="1">
      <alignment horizontal="right"/>
    </xf>
    <xf numFmtId="14" fontId="0" fillId="0" borderId="2" xfId="0" applyNumberFormat="1" applyFont="1" applyFill="1" applyBorder="1" applyAlignment="1">
      <alignment horizontal="right"/>
    </xf>
    <xf numFmtId="14" fontId="0" fillId="0" borderId="4" xfId="0" applyNumberFormat="1" applyFont="1" applyFill="1" applyBorder="1" applyAlignment="1">
      <alignment horizontal="right"/>
    </xf>
    <xf numFmtId="14" fontId="0" fillId="0" borderId="5" xfId="0" applyNumberFormat="1" applyFont="1" applyFill="1" applyBorder="1" applyAlignment="1">
      <alignment horizontal="right"/>
    </xf>
    <xf numFmtId="0" fontId="1" fillId="14" borderId="0" xfId="0" applyFont="1" applyFill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>
          <fgColor indexed="64"/>
          <bgColor theme="5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568D1-D5AA-4B4B-A35B-6A213BD856BC}" name="Table132" displayName="Table132" ref="A20:U27" totalsRowShown="0" headerRowDxfId="36" dataDxfId="35">
  <autoFilter ref="A20:U27" xr:uid="{C4D568D1-D5AA-4B4B-A35B-6A213BD856BC}"/>
  <tableColumns count="21">
    <tableColumn id="1" xr3:uid="{CDD20B39-755B-43CE-9F24-BD6ED772BA9F}" name="ORDER_NUMBER" dataDxfId="34"/>
    <tableColumn id="2" xr3:uid="{F59CB5A9-43C1-41BF-9D79-EADDA93D1652}" name="QUANTITY" dataDxfId="33"/>
    <tableColumn id="3" xr3:uid="{36541F9A-C131-45B4-AF11-191D45D626CC}" name="ITEM_PRICE" dataDxfId="32"/>
    <tableColumn id="4" xr3:uid="{F19D4DE1-260D-4088-B1B5-DCDB451F4E5F}" name="TOTAL_COST" dataDxfId="31"/>
    <tableColumn id="5" xr3:uid="{7660AEB1-6894-47A9-B734-2258712BC2B4}" name="ORDER_DATE" dataDxfId="30"/>
    <tableColumn id="6" xr3:uid="{360795E8-3A1F-4EFB-B11A-7B5F8613F36F}" name="STATUS" dataDxfId="29"/>
    <tableColumn id="7" xr3:uid="{B85B8D1C-CF62-4778-9152-9D2019AE4028}" name="PRODUCT_CODE" dataDxfId="28"/>
    <tableColumn id="8" xr3:uid="{B3AB8D30-577A-497E-BFBC-7BFDCB2F9F17}" name="PRODUCT_NAME" dataDxfId="27"/>
    <tableColumn id="9" xr3:uid="{2C19D2B1-5625-4625-A264-CDCE140BDAD2}" name="PRODUCT_PRICE" dataDxfId="26"/>
    <tableColumn id="10" xr3:uid="{B86E0522-5121-4DFD-8558-C44579FB6698}" name="CUSTOMER_NAME" dataDxfId="25"/>
    <tableColumn id="11" xr3:uid="{AED551C2-191B-4AE1-90A8-BA43E34A9245}" name="PHONE" dataDxfId="24"/>
    <tableColumn id="12" xr3:uid="{7FC9273F-01EC-453F-81C2-03C9A72F87DD}" name="ADDRESSLINE1" dataDxfId="23"/>
    <tableColumn id="13" xr3:uid="{468802E9-E595-4AB9-8AFA-28D3864BD0F9}" name="ADDRESSLINE2" dataDxfId="22"/>
    <tableColumn id="14" xr3:uid="{7C1D9F51-33F5-445D-A6BF-C7FEC4849A8C}" name="CITY" dataDxfId="21"/>
    <tableColumn id="15" xr3:uid="{65AB98BF-B642-45DB-A0C0-D3553B7A984F}" name="STATE" dataDxfId="20"/>
    <tableColumn id="16" xr3:uid="{D0EB37F7-49C0-41AF-8227-4391924C3D93}" name="POSTALCODE" dataDxfId="19"/>
    <tableColumn id="17" xr3:uid="{48667E56-61D0-4006-A38B-9F1844A85412}" name="COUNTRY" dataDxfId="18"/>
    <tableColumn id="18" xr3:uid="{87E6500D-128D-40C7-B91C-7A08DAD3E1A1}" name="TERRITORY" dataDxfId="17"/>
    <tableColumn id="19" xr3:uid="{96B7FEF4-F7A1-41A1-8D96-34BC7F5379A4}" name="SALES_CONTACT_LASTNAME" dataDxfId="16"/>
    <tableColumn id="20" xr3:uid="{91FC2BDA-8ADB-4612-9296-039BA2F31F4B}" name="SALES_CONTACT_FIRSTNAME" dataDxfId="15"/>
    <tableColumn id="21" xr3:uid="{8F03CAFF-6BFE-4B52-AD8F-96950ABBADCD}" name="DEAL_SIZE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A261CD-168E-4DFA-B286-587A5B1745DD}" name="Table3" displayName="Table3" ref="A33:J40" totalsRowShown="0" headerRowDxfId="13" dataDxfId="12" headerRowBorderDxfId="10" tableBorderDxfId="11">
  <autoFilter ref="A33:J40" xr:uid="{55A261CD-168E-4DFA-B286-587A5B1745DD}"/>
  <tableColumns count="10">
    <tableColumn id="1" xr3:uid="{34F97DD1-3DFF-4EE3-A6BD-4A1B424C3B81}" name="ORDER_ID" dataDxfId="9"/>
    <tableColumn id="2" xr3:uid="{2A6807AB-2679-4BB2-8813-8DB6E3FFCCEA}" name="ORDER_NUMBER2" dataDxfId="8"/>
    <tableColumn id="3" xr3:uid="{45577835-0FA4-4C0D-ADBC-B0FF329EE620}" name="QUANTITY" dataDxfId="7"/>
    <tableColumn id="4" xr3:uid="{41104D78-4BA4-4375-8602-3EE816F6CF9F}" name="ITEM_PRICE" dataDxfId="6"/>
    <tableColumn id="5" xr3:uid="{9117B050-0D98-4F2D-BE63-B02CA8DB762A}" name="TOTAL_COST" dataDxfId="5"/>
    <tableColumn id="6" xr3:uid="{052F562D-D20F-47BA-9219-A80C20B3235C}" name="ORDER_DATE" dataDxfId="4"/>
    <tableColumn id="7" xr3:uid="{5CA3D80C-995F-4BAD-AB4B-14D5DA26B87E}" name="STATUS" dataDxfId="3"/>
    <tableColumn id="8" xr3:uid="{A430A840-123E-40F1-9439-1A87CACEFB80}" name="SALES_CONTACT_LASTNAME" dataDxfId="2"/>
    <tableColumn id="9" xr3:uid="{86A068A7-9A97-4236-A0C4-C8CD9C62714A}" name="SALES_CONTACT_FIRSTNAME" dataDxfId="1"/>
    <tableColumn id="10" xr3:uid="{56A1518E-1E6F-4248-90AF-406F93E8D9C3}" name="DEAL_SIZE" dataDxfId="0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E54297-08DD-4CBA-AA53-62BE6FDB504B}" name="Table35" displayName="Table35" ref="A12:H19" totalsRowShown="0" headerRowDxfId="48" dataDxfId="46" headerRowBorderDxfId="47" tableBorderDxfId="45">
  <autoFilter ref="A12:H19" xr:uid="{36E54297-08DD-4CBA-AA53-62BE6FDB504B}"/>
  <tableColumns count="8">
    <tableColumn id="1" xr3:uid="{38041A77-8101-4594-90A7-346A9BE40B93}" name="ORDER_ID" dataDxfId="44"/>
    <tableColumn id="2" xr3:uid="{75E32123-1C90-445A-805B-7EF7107644C9}" name="ORDER_NUMBER2" dataDxfId="43"/>
    <tableColumn id="3" xr3:uid="{11972574-A131-48C8-A5FF-BB58533995B0}" name="QUANTITY" dataDxfId="42"/>
    <tableColumn id="4" xr3:uid="{74623FE8-6510-43C8-81A0-32F11110D3BB}" name="ITEM_PRICE" dataDxfId="41"/>
    <tableColumn id="5" xr3:uid="{9E018821-0C30-49EC-836D-451E9558D353}" name="TOTAL_COST" dataDxfId="40"/>
    <tableColumn id="6" xr3:uid="{B5026824-D708-4C09-BDE6-BA3BDF868BBB}" name="ORDER_DATE" dataDxfId="39"/>
    <tableColumn id="7" xr3:uid="{12A0E789-BC1F-4B22-B0EE-90526B903741}" name="STATUS" dataDxfId="38"/>
    <tableColumn id="10" xr3:uid="{E4FF2E08-B8AF-4010-8DBC-0E14E8801471}" name="DEAL_SIZE" dataDxfId="3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2609-542B-4947-A5BE-3EAB0CA63C7D}">
  <sheetPr codeName="Sheet1"/>
  <dimension ref="A1:U10"/>
  <sheetViews>
    <sheetView topLeftCell="K1" workbookViewId="0">
      <selection activeCell="A3" sqref="A3:V9"/>
    </sheetView>
  </sheetViews>
  <sheetFormatPr defaultRowHeight="14.5" x14ac:dyDescent="0.35"/>
  <cols>
    <col min="1" max="1" width="29.90625" bestFit="1" customWidth="1"/>
    <col min="2" max="2" width="9.453125" bestFit="1" customWidth="1"/>
    <col min="3" max="3" width="10.81640625" bestFit="1" customWidth="1"/>
    <col min="4" max="4" width="11.54296875" bestFit="1" customWidth="1"/>
    <col min="5" max="5" width="12.08984375" bestFit="1" customWidth="1"/>
    <col min="6" max="6" width="8.81640625" bestFit="1" customWidth="1"/>
    <col min="7" max="7" width="18.6328125" bestFit="1" customWidth="1"/>
    <col min="8" max="8" width="15.1796875" bestFit="1" customWidth="1"/>
    <col min="9" max="9" width="14.7265625" bestFit="1" customWidth="1"/>
    <col min="10" max="10" width="16.54296875" bestFit="1" customWidth="1"/>
    <col min="11" max="11" width="10.81640625" bestFit="1" customWidth="1"/>
    <col min="12" max="12" width="25.1796875" bestFit="1" customWidth="1"/>
    <col min="13" max="13" width="13.1796875" bestFit="1" customWidth="1"/>
    <col min="16" max="16" width="11.81640625" bestFit="1" customWidth="1"/>
    <col min="18" max="18" width="10" bestFit="1" customWidth="1"/>
    <col min="19" max="19" width="25" bestFit="1" customWidth="1"/>
    <col min="20" max="20" width="25.6328125" bestFit="1" customWidth="1"/>
  </cols>
  <sheetData>
    <row r="1" spans="1:21" x14ac:dyDescent="0.35">
      <c r="A1" s="1" t="s">
        <v>0</v>
      </c>
    </row>
    <row r="3" spans="1:21" s="2" customForma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6</v>
      </c>
      <c r="F3" s="3" t="s">
        <v>7</v>
      </c>
      <c r="G3" s="3" t="s">
        <v>11</v>
      </c>
      <c r="H3" s="3" t="s">
        <v>18</v>
      </c>
      <c r="I3" s="3" t="s">
        <v>25</v>
      </c>
      <c r="J3" s="3" t="s">
        <v>26</v>
      </c>
      <c r="K3" s="3" t="s">
        <v>33</v>
      </c>
      <c r="L3" s="3" t="s">
        <v>34</v>
      </c>
      <c r="M3" s="3" t="s">
        <v>41</v>
      </c>
      <c r="N3" s="3" t="s">
        <v>42</v>
      </c>
      <c r="O3" s="3" t="s">
        <v>48</v>
      </c>
      <c r="P3" s="3" t="s">
        <v>51</v>
      </c>
      <c r="Q3" s="3" t="s">
        <v>52</v>
      </c>
      <c r="R3" s="3" t="s">
        <v>55</v>
      </c>
      <c r="S3" s="3" t="s">
        <v>64</v>
      </c>
      <c r="T3" s="3" t="s">
        <v>65</v>
      </c>
      <c r="U3" s="3" t="s">
        <v>71</v>
      </c>
    </row>
    <row r="4" spans="1:21" x14ac:dyDescent="0.35">
      <c r="A4" s="4">
        <v>10101</v>
      </c>
      <c r="B4" s="4">
        <v>30</v>
      </c>
      <c r="C4" s="4">
        <v>202</v>
      </c>
      <c r="D4" s="4">
        <v>6060</v>
      </c>
      <c r="E4" s="5">
        <v>37704</v>
      </c>
      <c r="F4" s="4" t="s">
        <v>8</v>
      </c>
      <c r="G4" s="4" t="s">
        <v>12</v>
      </c>
      <c r="H4" s="4" t="s">
        <v>19</v>
      </c>
      <c r="I4" s="4">
        <v>200</v>
      </c>
      <c r="J4" s="4" t="s">
        <v>27</v>
      </c>
      <c r="K4" s="4">
        <v>2125357818</v>
      </c>
      <c r="L4" s="4" t="s">
        <v>35</v>
      </c>
      <c r="M4" s="4"/>
      <c r="N4" s="4" t="s">
        <v>43</v>
      </c>
      <c r="O4" s="4" t="s">
        <v>49</v>
      </c>
      <c r="P4" s="4">
        <v>10022</v>
      </c>
      <c r="Q4" s="4" t="s">
        <v>53</v>
      </c>
      <c r="R4" s="4" t="s">
        <v>56</v>
      </c>
      <c r="S4" s="4" t="s">
        <v>58</v>
      </c>
      <c r="T4" s="4" t="s">
        <v>66</v>
      </c>
      <c r="U4" s="4" t="s">
        <v>72</v>
      </c>
    </row>
    <row r="5" spans="1:21" x14ac:dyDescent="0.35">
      <c r="A5" s="4">
        <v>10102</v>
      </c>
      <c r="B5" s="4">
        <v>34</v>
      </c>
      <c r="C5" s="4">
        <v>550</v>
      </c>
      <c r="D5" s="4">
        <v>18700</v>
      </c>
      <c r="E5" s="5">
        <v>37807</v>
      </c>
      <c r="F5" s="4" t="s">
        <v>9</v>
      </c>
      <c r="G5" s="4" t="s">
        <v>13</v>
      </c>
      <c r="H5" s="4" t="s">
        <v>20</v>
      </c>
      <c r="I5" s="4">
        <v>500</v>
      </c>
      <c r="J5" s="4" t="s">
        <v>28</v>
      </c>
      <c r="K5" s="4">
        <v>2123356666</v>
      </c>
      <c r="L5" s="4" t="s">
        <v>36</v>
      </c>
      <c r="M5" s="4"/>
      <c r="N5" s="4" t="s">
        <v>44</v>
      </c>
      <c r="O5" s="4"/>
      <c r="P5" s="4">
        <v>51100</v>
      </c>
      <c r="Q5" s="4" t="s">
        <v>54</v>
      </c>
      <c r="R5" s="4" t="s">
        <v>57</v>
      </c>
      <c r="S5" s="4" t="s">
        <v>59</v>
      </c>
      <c r="T5" s="4" t="s">
        <v>67</v>
      </c>
      <c r="U5" s="4" t="s">
        <v>73</v>
      </c>
    </row>
    <row r="6" spans="1:21" x14ac:dyDescent="0.35">
      <c r="A6" s="4">
        <v>10103</v>
      </c>
      <c r="B6" s="4">
        <v>41</v>
      </c>
      <c r="C6" s="4">
        <v>420</v>
      </c>
      <c r="D6" s="4">
        <v>17220</v>
      </c>
      <c r="E6" s="5">
        <v>37628</v>
      </c>
      <c r="F6" s="4" t="s">
        <v>8</v>
      </c>
      <c r="G6" s="4" t="s">
        <v>14</v>
      </c>
      <c r="H6" s="4" t="s">
        <v>21</v>
      </c>
      <c r="I6" s="4">
        <v>400</v>
      </c>
      <c r="J6" s="4" t="s">
        <v>29</v>
      </c>
      <c r="K6" s="4">
        <v>2121257800</v>
      </c>
      <c r="L6" s="4" t="s">
        <v>37</v>
      </c>
      <c r="M6" s="4"/>
      <c r="N6" s="4" t="s">
        <v>45</v>
      </c>
      <c r="O6" s="4"/>
      <c r="P6" s="4">
        <v>75508</v>
      </c>
      <c r="Q6" s="4" t="s">
        <v>54</v>
      </c>
      <c r="R6" s="4" t="s">
        <v>57</v>
      </c>
      <c r="S6" s="4" t="s">
        <v>60</v>
      </c>
      <c r="T6" s="4" t="s">
        <v>68</v>
      </c>
      <c r="U6" s="4" t="s">
        <v>73</v>
      </c>
    </row>
    <row r="7" spans="1:21" x14ac:dyDescent="0.35">
      <c r="A7" s="4">
        <v>10104</v>
      </c>
      <c r="B7" s="4">
        <v>45</v>
      </c>
      <c r="C7" s="4">
        <v>780</v>
      </c>
      <c r="D7" s="4">
        <v>35100</v>
      </c>
      <c r="E7" s="5">
        <v>37858</v>
      </c>
      <c r="F7" s="4" t="s">
        <v>10</v>
      </c>
      <c r="G7" s="4" t="s">
        <v>15</v>
      </c>
      <c r="H7" s="4" t="s">
        <v>22</v>
      </c>
      <c r="I7" s="4">
        <v>800</v>
      </c>
      <c r="J7" s="4" t="s">
        <v>30</v>
      </c>
      <c r="K7" s="4">
        <v>6265557265</v>
      </c>
      <c r="L7" s="4" t="s">
        <v>38</v>
      </c>
      <c r="M7" s="4"/>
      <c r="N7" s="4" t="s">
        <v>46</v>
      </c>
      <c r="O7" s="4" t="s">
        <v>50</v>
      </c>
      <c r="P7" s="4">
        <v>90003</v>
      </c>
      <c r="Q7" s="4" t="s">
        <v>53</v>
      </c>
      <c r="R7" s="4" t="s">
        <v>56</v>
      </c>
      <c r="S7" s="4" t="s">
        <v>61</v>
      </c>
      <c r="T7" s="4" t="s">
        <v>69</v>
      </c>
      <c r="U7" s="4" t="s">
        <v>74</v>
      </c>
    </row>
    <row r="8" spans="1:21" x14ac:dyDescent="0.35">
      <c r="A8" s="4">
        <v>10105</v>
      </c>
      <c r="B8" s="4">
        <v>49</v>
      </c>
      <c r="C8" s="4">
        <v>850</v>
      </c>
      <c r="D8" s="4">
        <v>41650</v>
      </c>
      <c r="E8" s="5">
        <v>37904</v>
      </c>
      <c r="F8" s="4" t="s">
        <v>8</v>
      </c>
      <c r="G8" s="4" t="s">
        <v>16</v>
      </c>
      <c r="H8" s="4" t="s">
        <v>23</v>
      </c>
      <c r="I8" s="4">
        <v>900</v>
      </c>
      <c r="J8" s="4" t="s">
        <v>31</v>
      </c>
      <c r="K8" s="4">
        <v>6505551386</v>
      </c>
      <c r="L8" s="4" t="s">
        <v>39</v>
      </c>
      <c r="M8" s="4"/>
      <c r="N8" s="4" t="s">
        <v>47</v>
      </c>
      <c r="O8" s="4" t="s">
        <v>50</v>
      </c>
      <c r="P8" s="4"/>
      <c r="Q8" s="4" t="s">
        <v>53</v>
      </c>
      <c r="R8" s="4" t="s">
        <v>56</v>
      </c>
      <c r="S8" s="4" t="s">
        <v>62</v>
      </c>
      <c r="T8" s="4" t="s">
        <v>69</v>
      </c>
      <c r="U8" s="4" t="s">
        <v>74</v>
      </c>
    </row>
    <row r="9" spans="1:21" x14ac:dyDescent="0.35">
      <c r="A9" s="4">
        <v>10106</v>
      </c>
      <c r="B9" s="4" t="s">
        <v>5</v>
      </c>
      <c r="C9" s="6" t="s">
        <v>77</v>
      </c>
      <c r="D9" s="4">
        <v>6520</v>
      </c>
      <c r="E9" s="5">
        <v>38479</v>
      </c>
      <c r="F9" s="4" t="s">
        <v>8</v>
      </c>
      <c r="G9" s="4" t="s">
        <v>17</v>
      </c>
      <c r="H9" s="4" t="s">
        <v>24</v>
      </c>
      <c r="I9" s="6">
        <v>800900</v>
      </c>
      <c r="J9" s="4" t="s">
        <v>32</v>
      </c>
      <c r="K9" s="4">
        <v>6577771000</v>
      </c>
      <c r="L9" s="4" t="s">
        <v>40</v>
      </c>
      <c r="M9" s="4"/>
      <c r="N9" s="4" t="s">
        <v>45</v>
      </c>
      <c r="O9" s="4"/>
      <c r="P9" s="4">
        <v>75016</v>
      </c>
      <c r="Q9" s="4" t="s">
        <v>54</v>
      </c>
      <c r="R9" s="4" t="s">
        <v>57</v>
      </c>
      <c r="S9" s="4" t="s">
        <v>63</v>
      </c>
      <c r="T9" s="4" t="s">
        <v>70</v>
      </c>
      <c r="U9" s="4" t="s">
        <v>72</v>
      </c>
    </row>
    <row r="10" spans="1:21" x14ac:dyDescent="0.35">
      <c r="A10" s="29" t="s">
        <v>116</v>
      </c>
      <c r="J10" s="29" t="s">
        <v>115</v>
      </c>
      <c r="S10" s="29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D879-F0B0-4F4C-B90F-1D92E9E2C4F4}">
  <dimension ref="A1:V12"/>
  <sheetViews>
    <sheetView workbookViewId="0">
      <selection activeCell="D22" sqref="D22"/>
    </sheetView>
  </sheetViews>
  <sheetFormatPr defaultRowHeight="14.5" x14ac:dyDescent="0.35"/>
  <cols>
    <col min="1" max="1" width="37.6328125" customWidth="1"/>
    <col min="2" max="2" width="17.54296875" customWidth="1"/>
    <col min="3" max="3" width="14.453125" customWidth="1"/>
    <col min="4" max="4" width="14.36328125" customWidth="1"/>
    <col min="5" max="5" width="35.7265625" customWidth="1"/>
    <col min="7" max="7" width="20" customWidth="1"/>
    <col min="8" max="8" width="17.36328125" customWidth="1"/>
    <col min="9" max="9" width="20.36328125" customWidth="1"/>
    <col min="10" max="10" width="26.90625" customWidth="1"/>
    <col min="11" max="11" width="19.1796875" customWidth="1"/>
    <col min="16" max="16" width="8.7265625" customWidth="1"/>
    <col min="17" max="17" width="18.6328125" customWidth="1"/>
    <col min="18" max="18" width="18.08984375" customWidth="1"/>
    <col min="19" max="19" width="23.1796875" customWidth="1"/>
    <col min="20" max="20" width="25.6328125" bestFit="1" customWidth="1"/>
  </cols>
  <sheetData>
    <row r="1" spans="1:22" x14ac:dyDescent="0.35">
      <c r="A1" s="7" t="s">
        <v>76</v>
      </c>
    </row>
    <row r="2" spans="1:22" x14ac:dyDescent="0.35">
      <c r="A2" s="7" t="s">
        <v>75</v>
      </c>
    </row>
    <row r="5" spans="1:22" x14ac:dyDescent="0.35">
      <c r="A5" s="31" t="s">
        <v>1</v>
      </c>
      <c r="B5" s="32" t="s">
        <v>2</v>
      </c>
      <c r="C5" s="32" t="s">
        <v>3</v>
      </c>
      <c r="D5" s="32" t="s">
        <v>4</v>
      </c>
      <c r="E5" s="32" t="s">
        <v>6</v>
      </c>
      <c r="F5" s="32" t="s">
        <v>7</v>
      </c>
      <c r="G5" s="31" t="s">
        <v>11</v>
      </c>
      <c r="H5" s="32" t="s">
        <v>18</v>
      </c>
      <c r="I5" s="32" t="s">
        <v>25</v>
      </c>
      <c r="J5" s="32" t="s">
        <v>26</v>
      </c>
      <c r="K5" s="32" t="s">
        <v>33</v>
      </c>
      <c r="L5" s="32" t="s">
        <v>34</v>
      </c>
      <c r="M5" s="32" t="s">
        <v>41</v>
      </c>
      <c r="N5" s="32" t="s">
        <v>42</v>
      </c>
      <c r="O5" s="32" t="s">
        <v>48</v>
      </c>
      <c r="P5" s="32" t="s">
        <v>51</v>
      </c>
      <c r="Q5" s="32" t="s">
        <v>52</v>
      </c>
      <c r="R5" s="32" t="s">
        <v>55</v>
      </c>
      <c r="S5" s="32" t="s">
        <v>64</v>
      </c>
      <c r="T5" s="32" t="s">
        <v>65</v>
      </c>
      <c r="U5" s="32" t="s">
        <v>71</v>
      </c>
      <c r="V5" s="2"/>
    </row>
    <row r="6" spans="1:22" x14ac:dyDescent="0.35">
      <c r="A6" s="33">
        <v>10101</v>
      </c>
      <c r="B6" s="34">
        <v>30</v>
      </c>
      <c r="C6" s="34">
        <v>202</v>
      </c>
      <c r="D6" s="34">
        <v>6060</v>
      </c>
      <c r="E6" s="35">
        <v>37704</v>
      </c>
      <c r="F6" s="34" t="s">
        <v>8</v>
      </c>
      <c r="G6" s="33" t="s">
        <v>12</v>
      </c>
      <c r="H6" s="34" t="s">
        <v>19</v>
      </c>
      <c r="I6" s="34">
        <v>200</v>
      </c>
      <c r="J6" s="34" t="s">
        <v>27</v>
      </c>
      <c r="K6" s="34">
        <v>2125357818</v>
      </c>
      <c r="L6" s="34" t="s">
        <v>35</v>
      </c>
      <c r="M6" s="34"/>
      <c r="N6" s="34" t="s">
        <v>43</v>
      </c>
      <c r="O6" s="34" t="s">
        <v>49</v>
      </c>
      <c r="P6" s="34">
        <v>10022</v>
      </c>
      <c r="Q6" s="34" t="s">
        <v>53</v>
      </c>
      <c r="R6" s="34" t="s">
        <v>56</v>
      </c>
      <c r="S6" s="34" t="s">
        <v>58</v>
      </c>
      <c r="T6" s="34" t="s">
        <v>66</v>
      </c>
      <c r="U6" s="34" t="s">
        <v>72</v>
      </c>
    </row>
    <row r="7" spans="1:22" x14ac:dyDescent="0.35">
      <c r="A7" s="33">
        <v>10102</v>
      </c>
      <c r="B7" s="34">
        <v>34</v>
      </c>
      <c r="C7" s="34">
        <v>550</v>
      </c>
      <c r="D7" s="34">
        <v>18700</v>
      </c>
      <c r="E7" s="35">
        <v>37807</v>
      </c>
      <c r="F7" s="34" t="s">
        <v>9</v>
      </c>
      <c r="G7" s="33" t="s">
        <v>13</v>
      </c>
      <c r="H7" s="34" t="s">
        <v>20</v>
      </c>
      <c r="I7" s="34">
        <v>500</v>
      </c>
      <c r="J7" s="34" t="s">
        <v>28</v>
      </c>
      <c r="K7" s="34">
        <v>2123356666</v>
      </c>
      <c r="L7" s="34" t="s">
        <v>36</v>
      </c>
      <c r="M7" s="34"/>
      <c r="N7" s="34" t="s">
        <v>44</v>
      </c>
      <c r="O7" s="34"/>
      <c r="P7" s="34">
        <v>51100</v>
      </c>
      <c r="Q7" s="34" t="s">
        <v>54</v>
      </c>
      <c r="R7" s="34" t="s">
        <v>57</v>
      </c>
      <c r="S7" s="34" t="s">
        <v>59</v>
      </c>
      <c r="T7" s="34" t="s">
        <v>67</v>
      </c>
      <c r="U7" s="34" t="s">
        <v>73</v>
      </c>
    </row>
    <row r="8" spans="1:22" x14ac:dyDescent="0.35">
      <c r="A8" s="33">
        <v>10103</v>
      </c>
      <c r="B8" s="34">
        <v>41</v>
      </c>
      <c r="C8" s="34">
        <v>420</v>
      </c>
      <c r="D8" s="34">
        <v>17220</v>
      </c>
      <c r="E8" s="35">
        <v>37628</v>
      </c>
      <c r="F8" s="34" t="s">
        <v>8</v>
      </c>
      <c r="G8" s="33" t="s">
        <v>14</v>
      </c>
      <c r="H8" s="34" t="s">
        <v>21</v>
      </c>
      <c r="I8" s="34">
        <v>400</v>
      </c>
      <c r="J8" s="34" t="s">
        <v>29</v>
      </c>
      <c r="K8" s="34">
        <v>2121257800</v>
      </c>
      <c r="L8" s="34" t="s">
        <v>37</v>
      </c>
      <c r="M8" s="34"/>
      <c r="N8" s="34" t="s">
        <v>45</v>
      </c>
      <c r="O8" s="34"/>
      <c r="P8" s="34">
        <v>75508</v>
      </c>
      <c r="Q8" s="34" t="s">
        <v>54</v>
      </c>
      <c r="R8" s="34" t="s">
        <v>57</v>
      </c>
      <c r="S8" s="34" t="s">
        <v>60</v>
      </c>
      <c r="T8" s="34" t="s">
        <v>68</v>
      </c>
      <c r="U8" s="34" t="s">
        <v>73</v>
      </c>
    </row>
    <row r="9" spans="1:22" x14ac:dyDescent="0.35">
      <c r="A9" s="33">
        <v>10104</v>
      </c>
      <c r="B9" s="34">
        <v>45</v>
      </c>
      <c r="C9" s="34">
        <v>780</v>
      </c>
      <c r="D9" s="34">
        <v>35100</v>
      </c>
      <c r="E9" s="35">
        <v>37858</v>
      </c>
      <c r="F9" s="34" t="s">
        <v>10</v>
      </c>
      <c r="G9" s="33" t="s">
        <v>15</v>
      </c>
      <c r="H9" s="34" t="s">
        <v>22</v>
      </c>
      <c r="I9" s="34">
        <v>800</v>
      </c>
      <c r="J9" s="34" t="s">
        <v>30</v>
      </c>
      <c r="K9" s="34">
        <v>6265557265</v>
      </c>
      <c r="L9" s="34" t="s">
        <v>38</v>
      </c>
      <c r="M9" s="34"/>
      <c r="N9" s="34" t="s">
        <v>46</v>
      </c>
      <c r="O9" s="34" t="s">
        <v>50</v>
      </c>
      <c r="P9" s="34">
        <v>90003</v>
      </c>
      <c r="Q9" s="34" t="s">
        <v>53</v>
      </c>
      <c r="R9" s="34" t="s">
        <v>56</v>
      </c>
      <c r="S9" s="34" t="s">
        <v>61</v>
      </c>
      <c r="T9" s="34" t="s">
        <v>69</v>
      </c>
      <c r="U9" s="34" t="s">
        <v>74</v>
      </c>
    </row>
    <row r="10" spans="1:22" x14ac:dyDescent="0.35">
      <c r="A10" s="33">
        <v>10105</v>
      </c>
      <c r="B10" s="34">
        <v>49</v>
      </c>
      <c r="C10" s="34">
        <v>850</v>
      </c>
      <c r="D10" s="34">
        <v>41650</v>
      </c>
      <c r="E10" s="35">
        <v>37904</v>
      </c>
      <c r="F10" s="34" t="s">
        <v>8</v>
      </c>
      <c r="G10" s="33" t="s">
        <v>16</v>
      </c>
      <c r="H10" s="34" t="s">
        <v>23</v>
      </c>
      <c r="I10" s="34">
        <v>900</v>
      </c>
      <c r="J10" s="34" t="s">
        <v>31</v>
      </c>
      <c r="K10" s="34">
        <v>6505551386</v>
      </c>
      <c r="L10" s="34" t="s">
        <v>39</v>
      </c>
      <c r="M10" s="34"/>
      <c r="N10" s="34" t="s">
        <v>47</v>
      </c>
      <c r="O10" s="34" t="s">
        <v>50</v>
      </c>
      <c r="P10" s="34"/>
      <c r="Q10" s="34" t="s">
        <v>53</v>
      </c>
      <c r="R10" s="34" t="s">
        <v>56</v>
      </c>
      <c r="S10" s="34" t="s">
        <v>62</v>
      </c>
      <c r="T10" s="34" t="s">
        <v>69</v>
      </c>
      <c r="U10" s="34" t="s">
        <v>74</v>
      </c>
    </row>
    <row r="11" spans="1:22" x14ac:dyDescent="0.35">
      <c r="A11" s="33">
        <v>10106</v>
      </c>
      <c r="B11" s="34">
        <v>4</v>
      </c>
      <c r="C11" s="36">
        <v>780</v>
      </c>
      <c r="D11" s="34">
        <f>(B11*C11)</f>
        <v>3120</v>
      </c>
      <c r="E11" s="35">
        <v>38479</v>
      </c>
      <c r="F11" s="34" t="s">
        <v>8</v>
      </c>
      <c r="G11" s="33" t="s">
        <v>15</v>
      </c>
      <c r="H11" s="34" t="s">
        <v>22</v>
      </c>
      <c r="I11" s="36">
        <v>800</v>
      </c>
      <c r="J11" s="34" t="s">
        <v>32</v>
      </c>
      <c r="K11" s="34">
        <v>6577771000</v>
      </c>
      <c r="L11" s="34" t="s">
        <v>40</v>
      </c>
      <c r="M11" s="34"/>
      <c r="N11" s="34" t="s">
        <v>45</v>
      </c>
      <c r="O11" s="34"/>
      <c r="P11" s="34">
        <v>75016</v>
      </c>
      <c r="Q11" s="34" t="s">
        <v>54</v>
      </c>
      <c r="R11" s="34" t="s">
        <v>57</v>
      </c>
      <c r="S11" s="34" t="s">
        <v>63</v>
      </c>
      <c r="T11" s="34" t="s">
        <v>70</v>
      </c>
      <c r="U11" s="34" t="s">
        <v>72</v>
      </c>
    </row>
    <row r="12" spans="1:22" x14ac:dyDescent="0.35">
      <c r="A12" s="33">
        <v>10106</v>
      </c>
      <c r="B12" s="34">
        <v>4</v>
      </c>
      <c r="C12" s="36">
        <v>850</v>
      </c>
      <c r="D12" s="34">
        <f>(B12*C12)</f>
        <v>3400</v>
      </c>
      <c r="E12" s="35">
        <v>38479</v>
      </c>
      <c r="F12" s="34" t="s">
        <v>8</v>
      </c>
      <c r="G12" s="33" t="s">
        <v>129</v>
      </c>
      <c r="H12" s="34" t="s">
        <v>23</v>
      </c>
      <c r="I12" s="36">
        <v>900</v>
      </c>
      <c r="J12" s="34" t="s">
        <v>32</v>
      </c>
      <c r="K12" s="34">
        <v>6577771000</v>
      </c>
      <c r="L12" s="34" t="s">
        <v>40</v>
      </c>
      <c r="M12" s="34"/>
      <c r="N12" s="34" t="s">
        <v>45</v>
      </c>
      <c r="O12" s="34"/>
      <c r="P12" s="34">
        <v>75016</v>
      </c>
      <c r="Q12" s="34" t="s">
        <v>54</v>
      </c>
      <c r="R12" s="34" t="s">
        <v>57</v>
      </c>
      <c r="S12" s="34" t="s">
        <v>63</v>
      </c>
      <c r="T12" s="34" t="s">
        <v>70</v>
      </c>
      <c r="U12" s="3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0B24-6267-44E7-92F9-81413985EA85}">
  <dimension ref="A2:V64"/>
  <sheetViews>
    <sheetView topLeftCell="A61" workbookViewId="0">
      <selection activeCell="B66" sqref="B66"/>
    </sheetView>
  </sheetViews>
  <sheetFormatPr defaultRowHeight="14.5" x14ac:dyDescent="0.35"/>
  <cols>
    <col min="1" max="1" width="43.36328125" customWidth="1"/>
    <col min="2" max="2" width="34.54296875" customWidth="1"/>
    <col min="5" max="5" width="25.36328125" customWidth="1"/>
    <col min="6" max="6" width="32" customWidth="1"/>
    <col min="7" max="7" width="24.1796875" customWidth="1"/>
  </cols>
  <sheetData>
    <row r="2" spans="1:1" x14ac:dyDescent="0.35">
      <c r="A2" s="8" t="s">
        <v>78</v>
      </c>
    </row>
    <row r="3" spans="1:1" x14ac:dyDescent="0.35">
      <c r="A3" s="7" t="s">
        <v>79</v>
      </c>
    </row>
    <row r="4" spans="1:1" x14ac:dyDescent="0.35">
      <c r="A4" s="7" t="s">
        <v>80</v>
      </c>
    </row>
    <row r="5" spans="1:1" x14ac:dyDescent="0.35">
      <c r="A5" s="7" t="s">
        <v>90</v>
      </c>
    </row>
    <row r="6" spans="1:1" x14ac:dyDescent="0.35">
      <c r="A6" s="7" t="s">
        <v>81</v>
      </c>
    </row>
    <row r="8" spans="1:1" x14ac:dyDescent="0.35">
      <c r="A8" s="8" t="s">
        <v>82</v>
      </c>
    </row>
    <row r="9" spans="1:1" x14ac:dyDescent="0.35">
      <c r="A9" t="s">
        <v>83</v>
      </c>
    </row>
    <row r="10" spans="1:1" x14ac:dyDescent="0.35">
      <c r="A10" t="s">
        <v>84</v>
      </c>
    </row>
    <row r="12" spans="1:1" x14ac:dyDescent="0.35">
      <c r="A12" s="8" t="s">
        <v>85</v>
      </c>
    </row>
    <row r="13" spans="1:1" x14ac:dyDescent="0.35">
      <c r="A13" t="s">
        <v>86</v>
      </c>
    </row>
    <row r="15" spans="1:1" x14ac:dyDescent="0.35">
      <c r="A15" s="8" t="s">
        <v>87</v>
      </c>
    </row>
    <row r="16" spans="1:1" x14ac:dyDescent="0.35">
      <c r="A16" t="s">
        <v>88</v>
      </c>
    </row>
    <row r="17" spans="1:22" x14ac:dyDescent="0.35">
      <c r="A17" t="s">
        <v>89</v>
      </c>
    </row>
    <row r="20" spans="1:22" x14ac:dyDescent="0.35">
      <c r="A20" s="9" t="s">
        <v>1</v>
      </c>
      <c r="B20" s="9" t="s">
        <v>2</v>
      </c>
      <c r="C20" s="9" t="s">
        <v>3</v>
      </c>
      <c r="D20" s="9" t="s">
        <v>4</v>
      </c>
      <c r="E20" s="9" t="s">
        <v>6</v>
      </c>
      <c r="F20" s="9" t="s">
        <v>7</v>
      </c>
      <c r="G20" s="9" t="s">
        <v>11</v>
      </c>
      <c r="H20" s="9" t="s">
        <v>18</v>
      </c>
      <c r="I20" s="9" t="s">
        <v>25</v>
      </c>
      <c r="J20" s="9" t="s">
        <v>26</v>
      </c>
      <c r="K20" s="9" t="s">
        <v>33</v>
      </c>
      <c r="L20" s="9" t="s">
        <v>34</v>
      </c>
      <c r="M20" s="9" t="s">
        <v>41</v>
      </c>
      <c r="N20" s="9" t="s">
        <v>42</v>
      </c>
      <c r="O20" s="9" t="s">
        <v>48</v>
      </c>
      <c r="P20" s="9" t="s">
        <v>51</v>
      </c>
      <c r="Q20" s="9" t="s">
        <v>52</v>
      </c>
      <c r="R20" s="9" t="s">
        <v>55</v>
      </c>
      <c r="S20" s="9" t="s">
        <v>64</v>
      </c>
      <c r="T20" s="9" t="s">
        <v>65</v>
      </c>
      <c r="U20" s="9" t="s">
        <v>71</v>
      </c>
      <c r="V20" s="4"/>
    </row>
    <row r="21" spans="1:22" x14ac:dyDescent="0.35">
      <c r="A21" s="10">
        <v>10101</v>
      </c>
      <c r="B21" s="11">
        <v>30</v>
      </c>
      <c r="C21" s="11">
        <v>202</v>
      </c>
      <c r="D21" s="11">
        <v>6060</v>
      </c>
      <c r="E21" s="12">
        <v>37704</v>
      </c>
      <c r="F21" s="11" t="s">
        <v>8</v>
      </c>
      <c r="G21" s="10" t="s">
        <v>12</v>
      </c>
      <c r="H21" s="11" t="s">
        <v>19</v>
      </c>
      <c r="I21" s="11">
        <v>200</v>
      </c>
      <c r="J21" s="11" t="s">
        <v>27</v>
      </c>
      <c r="K21" s="11">
        <v>2125357818</v>
      </c>
      <c r="L21" s="11" t="s">
        <v>35</v>
      </c>
      <c r="M21" s="11"/>
      <c r="N21" s="11" t="s">
        <v>43</v>
      </c>
      <c r="O21" s="11" t="s">
        <v>49</v>
      </c>
      <c r="P21" s="11">
        <v>10022</v>
      </c>
      <c r="Q21" s="11" t="s">
        <v>53</v>
      </c>
      <c r="R21" s="11" t="s">
        <v>56</v>
      </c>
      <c r="S21" s="11" t="s">
        <v>58</v>
      </c>
      <c r="T21" s="11" t="s">
        <v>66</v>
      </c>
      <c r="U21" s="11" t="s">
        <v>72</v>
      </c>
    </row>
    <row r="22" spans="1:22" x14ac:dyDescent="0.35">
      <c r="A22" s="10">
        <v>10102</v>
      </c>
      <c r="B22" s="11">
        <v>34</v>
      </c>
      <c r="C22" s="11">
        <v>550</v>
      </c>
      <c r="D22" s="11">
        <v>18700</v>
      </c>
      <c r="E22" s="12">
        <v>37807</v>
      </c>
      <c r="F22" s="11" t="s">
        <v>9</v>
      </c>
      <c r="G22" s="10" t="s">
        <v>13</v>
      </c>
      <c r="H22" s="11" t="s">
        <v>20</v>
      </c>
      <c r="I22" s="11">
        <v>500</v>
      </c>
      <c r="J22" s="11" t="s">
        <v>28</v>
      </c>
      <c r="K22" s="11">
        <v>2123356666</v>
      </c>
      <c r="L22" s="11" t="s">
        <v>36</v>
      </c>
      <c r="M22" s="11"/>
      <c r="N22" s="11" t="s">
        <v>44</v>
      </c>
      <c r="O22" s="11"/>
      <c r="P22" s="11">
        <v>51100</v>
      </c>
      <c r="Q22" s="11" t="s">
        <v>54</v>
      </c>
      <c r="R22" s="11" t="s">
        <v>57</v>
      </c>
      <c r="S22" s="11" t="s">
        <v>59</v>
      </c>
      <c r="T22" s="11" t="s">
        <v>67</v>
      </c>
      <c r="U22" s="11" t="s">
        <v>73</v>
      </c>
    </row>
    <row r="23" spans="1:22" x14ac:dyDescent="0.35">
      <c r="A23" s="10">
        <v>10103</v>
      </c>
      <c r="B23" s="11">
        <v>41</v>
      </c>
      <c r="C23" s="11">
        <v>420</v>
      </c>
      <c r="D23" s="11">
        <v>17220</v>
      </c>
      <c r="E23" s="12">
        <v>37628</v>
      </c>
      <c r="F23" s="11" t="s">
        <v>8</v>
      </c>
      <c r="G23" s="10" t="s">
        <v>14</v>
      </c>
      <c r="H23" s="11" t="s">
        <v>21</v>
      </c>
      <c r="I23" s="11">
        <v>400</v>
      </c>
      <c r="J23" s="11" t="s">
        <v>29</v>
      </c>
      <c r="K23" s="11">
        <v>2121257800</v>
      </c>
      <c r="L23" s="11" t="s">
        <v>37</v>
      </c>
      <c r="M23" s="11"/>
      <c r="N23" s="11" t="s">
        <v>45</v>
      </c>
      <c r="O23" s="11"/>
      <c r="P23" s="11">
        <v>75508</v>
      </c>
      <c r="Q23" s="11" t="s">
        <v>54</v>
      </c>
      <c r="R23" s="11" t="s">
        <v>57</v>
      </c>
      <c r="S23" s="11" t="s">
        <v>60</v>
      </c>
      <c r="T23" s="11" t="s">
        <v>68</v>
      </c>
      <c r="U23" s="11" t="s">
        <v>73</v>
      </c>
    </row>
    <row r="24" spans="1:22" x14ac:dyDescent="0.35">
      <c r="A24" s="10">
        <v>10104</v>
      </c>
      <c r="B24" s="11">
        <v>45</v>
      </c>
      <c r="C24" s="11">
        <v>780</v>
      </c>
      <c r="D24" s="11">
        <v>35100</v>
      </c>
      <c r="E24" s="12">
        <v>37858</v>
      </c>
      <c r="F24" s="11" t="s">
        <v>10</v>
      </c>
      <c r="G24" s="10" t="s">
        <v>15</v>
      </c>
      <c r="H24" s="11" t="s">
        <v>22</v>
      </c>
      <c r="I24" s="11">
        <v>800</v>
      </c>
      <c r="J24" s="11" t="s">
        <v>30</v>
      </c>
      <c r="K24" s="11">
        <v>6265557265</v>
      </c>
      <c r="L24" s="11" t="s">
        <v>38</v>
      </c>
      <c r="M24" s="11"/>
      <c r="N24" s="11" t="s">
        <v>46</v>
      </c>
      <c r="O24" s="11" t="s">
        <v>50</v>
      </c>
      <c r="P24" s="11">
        <v>90003</v>
      </c>
      <c r="Q24" s="11" t="s">
        <v>53</v>
      </c>
      <c r="R24" s="11" t="s">
        <v>56</v>
      </c>
      <c r="S24" s="11" t="s">
        <v>61</v>
      </c>
      <c r="T24" s="11" t="s">
        <v>69</v>
      </c>
      <c r="U24" s="11" t="s">
        <v>74</v>
      </c>
    </row>
    <row r="25" spans="1:22" x14ac:dyDescent="0.35">
      <c r="A25" s="10">
        <v>10105</v>
      </c>
      <c r="B25" s="11">
        <v>49</v>
      </c>
      <c r="C25" s="11">
        <v>850</v>
      </c>
      <c r="D25" s="11">
        <v>41650</v>
      </c>
      <c r="E25" s="12">
        <v>37904</v>
      </c>
      <c r="F25" s="11" t="s">
        <v>8</v>
      </c>
      <c r="G25" s="10" t="s">
        <v>16</v>
      </c>
      <c r="H25" s="11" t="s">
        <v>23</v>
      </c>
      <c r="I25" s="11">
        <v>900</v>
      </c>
      <c r="J25" s="11" t="s">
        <v>31</v>
      </c>
      <c r="K25" s="11">
        <v>6505551386</v>
      </c>
      <c r="L25" s="11" t="s">
        <v>39</v>
      </c>
      <c r="M25" s="11"/>
      <c r="N25" s="11" t="s">
        <v>47</v>
      </c>
      <c r="O25" s="11" t="s">
        <v>50</v>
      </c>
      <c r="P25" s="11"/>
      <c r="Q25" s="11" t="s">
        <v>53</v>
      </c>
      <c r="R25" s="11" t="s">
        <v>56</v>
      </c>
      <c r="S25" s="11" t="s">
        <v>62</v>
      </c>
      <c r="T25" s="11" t="s">
        <v>69</v>
      </c>
      <c r="U25" s="11" t="s">
        <v>74</v>
      </c>
    </row>
    <row r="26" spans="1:22" x14ac:dyDescent="0.35">
      <c r="A26" s="10">
        <v>10106</v>
      </c>
      <c r="B26" s="11">
        <v>4</v>
      </c>
      <c r="C26" s="13">
        <v>780</v>
      </c>
      <c r="D26" s="11">
        <v>3120</v>
      </c>
      <c r="E26" s="12">
        <v>38479</v>
      </c>
      <c r="F26" s="11" t="s">
        <v>8</v>
      </c>
      <c r="G26" s="10" t="s">
        <v>15</v>
      </c>
      <c r="H26" s="11" t="s">
        <v>22</v>
      </c>
      <c r="I26" s="13">
        <v>800</v>
      </c>
      <c r="J26" s="11" t="s">
        <v>32</v>
      </c>
      <c r="K26" s="11">
        <v>6577771000</v>
      </c>
      <c r="L26" s="11" t="s">
        <v>40</v>
      </c>
      <c r="M26" s="11"/>
      <c r="N26" s="11" t="s">
        <v>45</v>
      </c>
      <c r="O26" s="11"/>
      <c r="P26" s="11">
        <v>75016</v>
      </c>
      <c r="Q26" s="11" t="s">
        <v>54</v>
      </c>
      <c r="R26" s="11" t="s">
        <v>57</v>
      </c>
      <c r="S26" s="11" t="s">
        <v>63</v>
      </c>
      <c r="T26" s="11" t="s">
        <v>70</v>
      </c>
      <c r="U26" s="11" t="s">
        <v>72</v>
      </c>
    </row>
    <row r="27" spans="1:22" x14ac:dyDescent="0.35">
      <c r="A27" s="10">
        <v>10106</v>
      </c>
      <c r="B27" s="11">
        <v>4</v>
      </c>
      <c r="C27" s="13">
        <v>850</v>
      </c>
      <c r="D27" s="11">
        <v>3400</v>
      </c>
      <c r="E27" s="12">
        <v>38479</v>
      </c>
      <c r="F27" s="11" t="s">
        <v>8</v>
      </c>
      <c r="G27" s="10" t="s">
        <v>16</v>
      </c>
      <c r="H27" s="11" t="s">
        <v>23</v>
      </c>
      <c r="I27" s="13">
        <v>900</v>
      </c>
      <c r="J27" s="11" t="s">
        <v>32</v>
      </c>
      <c r="K27" s="11">
        <v>6577771000</v>
      </c>
      <c r="L27" s="11" t="s">
        <v>40</v>
      </c>
      <c r="M27" s="11"/>
      <c r="N27" s="11" t="s">
        <v>45</v>
      </c>
      <c r="O27" s="11"/>
      <c r="P27" s="11">
        <v>75016</v>
      </c>
      <c r="Q27" s="11" t="s">
        <v>54</v>
      </c>
      <c r="R27" s="11" t="s">
        <v>57</v>
      </c>
      <c r="S27" s="11" t="s">
        <v>63</v>
      </c>
      <c r="T27" s="11" t="s">
        <v>70</v>
      </c>
      <c r="U27" s="11" t="s">
        <v>72</v>
      </c>
    </row>
    <row r="30" spans="1:22" x14ac:dyDescent="0.35">
      <c r="A30" s="14" t="s">
        <v>91</v>
      </c>
    </row>
    <row r="32" spans="1:22" x14ac:dyDescent="0.35">
      <c r="A32" s="48" t="s">
        <v>130</v>
      </c>
    </row>
    <row r="33" spans="1:10" x14ac:dyDescent="0.35">
      <c r="A33" s="18" t="s">
        <v>95</v>
      </c>
      <c r="B33" s="18" t="s">
        <v>96</v>
      </c>
      <c r="C33" s="18" t="s">
        <v>2</v>
      </c>
      <c r="D33" s="18" t="s">
        <v>3</v>
      </c>
      <c r="E33" s="18" t="s">
        <v>4</v>
      </c>
      <c r="F33" s="18" t="s">
        <v>6</v>
      </c>
      <c r="G33" s="18" t="s">
        <v>7</v>
      </c>
      <c r="H33" s="18" t="s">
        <v>64</v>
      </c>
      <c r="I33" s="18" t="s">
        <v>65</v>
      </c>
      <c r="J33" s="18" t="s">
        <v>71</v>
      </c>
    </row>
    <row r="34" spans="1:10" x14ac:dyDescent="0.35">
      <c r="A34" s="38">
        <v>1</v>
      </c>
      <c r="B34" s="41">
        <v>10101</v>
      </c>
      <c r="C34" s="41">
        <v>30</v>
      </c>
      <c r="D34" s="43">
        <v>202</v>
      </c>
      <c r="E34" s="41">
        <v>6060</v>
      </c>
      <c r="F34" s="46">
        <v>37704</v>
      </c>
      <c r="G34" s="41" t="s">
        <v>8</v>
      </c>
      <c r="H34" s="41" t="s">
        <v>58</v>
      </c>
      <c r="I34" s="41" t="s">
        <v>66</v>
      </c>
      <c r="J34" s="41" t="s">
        <v>72</v>
      </c>
    </row>
    <row r="35" spans="1:10" x14ac:dyDescent="0.35">
      <c r="A35" s="37">
        <v>2</v>
      </c>
      <c r="B35" s="40">
        <v>10102</v>
      </c>
      <c r="C35" s="40">
        <v>34</v>
      </c>
      <c r="D35" s="43">
        <v>550</v>
      </c>
      <c r="E35" s="40">
        <v>18700</v>
      </c>
      <c r="F35" s="45">
        <v>37807</v>
      </c>
      <c r="G35" s="40" t="s">
        <v>9</v>
      </c>
      <c r="H35" s="40" t="s">
        <v>59</v>
      </c>
      <c r="I35" s="40" t="s">
        <v>67</v>
      </c>
      <c r="J35" s="40" t="s">
        <v>73</v>
      </c>
    </row>
    <row r="36" spans="1:10" x14ac:dyDescent="0.35">
      <c r="A36" s="37">
        <v>3</v>
      </c>
      <c r="B36" s="40">
        <v>10103</v>
      </c>
      <c r="C36" s="40">
        <v>41</v>
      </c>
      <c r="D36" s="43">
        <v>420</v>
      </c>
      <c r="E36" s="40">
        <v>17220</v>
      </c>
      <c r="F36" s="45">
        <v>37628</v>
      </c>
      <c r="G36" s="40" t="s">
        <v>8</v>
      </c>
      <c r="H36" s="40" t="s">
        <v>60</v>
      </c>
      <c r="I36" s="40" t="s">
        <v>68</v>
      </c>
      <c r="J36" s="40" t="s">
        <v>73</v>
      </c>
    </row>
    <row r="37" spans="1:10" x14ac:dyDescent="0.35">
      <c r="A37" s="37">
        <v>4</v>
      </c>
      <c r="B37" s="40">
        <v>10104</v>
      </c>
      <c r="C37" s="40">
        <v>45</v>
      </c>
      <c r="D37" s="43">
        <v>780</v>
      </c>
      <c r="E37" s="40">
        <v>35100</v>
      </c>
      <c r="F37" s="45">
        <v>37858</v>
      </c>
      <c r="G37" s="40" t="s">
        <v>10</v>
      </c>
      <c r="H37" s="40" t="s">
        <v>61</v>
      </c>
      <c r="I37" s="40" t="s">
        <v>69</v>
      </c>
      <c r="J37" s="40" t="s">
        <v>74</v>
      </c>
    </row>
    <row r="38" spans="1:10" x14ac:dyDescent="0.35">
      <c r="A38" s="37">
        <v>5</v>
      </c>
      <c r="B38" s="40">
        <v>10105</v>
      </c>
      <c r="C38" s="40">
        <v>49</v>
      </c>
      <c r="D38" s="43">
        <v>850</v>
      </c>
      <c r="E38" s="40">
        <v>41650</v>
      </c>
      <c r="F38" s="45">
        <v>37904</v>
      </c>
      <c r="G38" s="40" t="s">
        <v>8</v>
      </c>
      <c r="H38" s="40" t="s">
        <v>62</v>
      </c>
      <c r="I38" s="40" t="s">
        <v>69</v>
      </c>
      <c r="J38" s="40" t="s">
        <v>74</v>
      </c>
    </row>
    <row r="39" spans="1:10" x14ac:dyDescent="0.35">
      <c r="A39" s="37">
        <v>6</v>
      </c>
      <c r="B39" s="40">
        <v>10106</v>
      </c>
      <c r="C39" s="40">
        <v>4</v>
      </c>
      <c r="D39" s="44">
        <v>780</v>
      </c>
      <c r="E39" s="40">
        <v>3120</v>
      </c>
      <c r="F39" s="45">
        <v>38479</v>
      </c>
      <c r="G39" s="40" t="s">
        <v>8</v>
      </c>
      <c r="H39" s="40" t="s">
        <v>63</v>
      </c>
      <c r="I39" s="40" t="s">
        <v>70</v>
      </c>
      <c r="J39" s="40" t="s">
        <v>72</v>
      </c>
    </row>
    <row r="40" spans="1:10" x14ac:dyDescent="0.35">
      <c r="A40" s="39">
        <v>7</v>
      </c>
      <c r="B40" s="42">
        <v>10106</v>
      </c>
      <c r="C40" s="42">
        <v>4</v>
      </c>
      <c r="D40" s="44">
        <v>850</v>
      </c>
      <c r="E40" s="42">
        <v>3400</v>
      </c>
      <c r="F40" s="47">
        <v>38479</v>
      </c>
      <c r="G40" s="42" t="s">
        <v>8</v>
      </c>
      <c r="H40" s="42" t="s">
        <v>63</v>
      </c>
      <c r="I40" s="42" t="s">
        <v>70</v>
      </c>
      <c r="J40" s="42" t="s">
        <v>72</v>
      </c>
    </row>
    <row r="44" spans="1:10" x14ac:dyDescent="0.35">
      <c r="A44" s="14" t="s">
        <v>94</v>
      </c>
    </row>
    <row r="45" spans="1:10" x14ac:dyDescent="0.35">
      <c r="A45" s="15" t="s">
        <v>11</v>
      </c>
      <c r="B45" s="15" t="s">
        <v>18</v>
      </c>
      <c r="C45" s="15" t="s">
        <v>25</v>
      </c>
      <c r="D45" s="4"/>
    </row>
    <row r="46" spans="1:10" x14ac:dyDescent="0.35">
      <c r="A46" s="19" t="s">
        <v>12</v>
      </c>
      <c r="B46" s="19" t="s">
        <v>19</v>
      </c>
      <c r="C46" s="19">
        <v>200</v>
      </c>
    </row>
    <row r="47" spans="1:10" x14ac:dyDescent="0.35">
      <c r="A47" s="19" t="s">
        <v>13</v>
      </c>
      <c r="B47" s="19" t="s">
        <v>20</v>
      </c>
      <c r="C47" s="19">
        <v>500</v>
      </c>
    </row>
    <row r="48" spans="1:10" x14ac:dyDescent="0.35">
      <c r="A48" s="19" t="s">
        <v>14</v>
      </c>
      <c r="B48" s="19" t="s">
        <v>21</v>
      </c>
      <c r="C48" s="19">
        <v>400</v>
      </c>
    </row>
    <row r="49" spans="1:3" x14ac:dyDescent="0.35">
      <c r="A49" s="19" t="s">
        <v>15</v>
      </c>
      <c r="B49" s="19" t="s">
        <v>22</v>
      </c>
      <c r="C49" s="19">
        <v>800</v>
      </c>
    </row>
    <row r="50" spans="1:3" x14ac:dyDescent="0.35">
      <c r="A50" s="19" t="s">
        <v>16</v>
      </c>
      <c r="B50" s="19" t="s">
        <v>23</v>
      </c>
      <c r="C50" s="19">
        <v>900</v>
      </c>
    </row>
    <row r="55" spans="1:3" x14ac:dyDescent="0.35">
      <c r="A55" s="14" t="s">
        <v>104</v>
      </c>
    </row>
    <row r="56" spans="1:3" x14ac:dyDescent="0.35">
      <c r="A56" s="24" t="s">
        <v>95</v>
      </c>
      <c r="B56" s="24" t="s">
        <v>11</v>
      </c>
      <c r="C56" s="24" t="s">
        <v>97</v>
      </c>
    </row>
    <row r="57" spans="1:3" x14ac:dyDescent="0.35">
      <c r="A57">
        <v>1</v>
      </c>
      <c r="B57" t="s">
        <v>12</v>
      </c>
      <c r="C57" t="s">
        <v>98</v>
      </c>
    </row>
    <row r="58" spans="1:3" x14ac:dyDescent="0.35">
      <c r="A58">
        <v>2</v>
      </c>
      <c r="B58" t="s">
        <v>13</v>
      </c>
      <c r="C58" t="s">
        <v>99</v>
      </c>
    </row>
    <row r="59" spans="1:3" x14ac:dyDescent="0.35">
      <c r="A59">
        <v>3</v>
      </c>
      <c r="B59" t="s">
        <v>14</v>
      </c>
      <c r="C59" t="s">
        <v>100</v>
      </c>
    </row>
    <row r="60" spans="1:3" x14ac:dyDescent="0.35">
      <c r="A60">
        <v>4</v>
      </c>
      <c r="B60" t="s">
        <v>15</v>
      </c>
      <c r="C60" t="s">
        <v>101</v>
      </c>
    </row>
    <row r="61" spans="1:3" x14ac:dyDescent="0.35">
      <c r="A61">
        <v>5</v>
      </c>
      <c r="B61" t="s">
        <v>16</v>
      </c>
      <c r="C61" t="s">
        <v>102</v>
      </c>
    </row>
    <row r="62" spans="1:3" x14ac:dyDescent="0.35">
      <c r="A62">
        <v>6</v>
      </c>
      <c r="B62" t="s">
        <v>15</v>
      </c>
      <c r="C62" t="s">
        <v>103</v>
      </c>
    </row>
    <row r="63" spans="1:3" x14ac:dyDescent="0.35">
      <c r="A63">
        <v>7</v>
      </c>
      <c r="B63" t="s">
        <v>16</v>
      </c>
      <c r="C63" t="s">
        <v>103</v>
      </c>
    </row>
    <row r="64" spans="1:3" x14ac:dyDescent="0.35">
      <c r="A64" s="14" t="s">
        <v>127</v>
      </c>
      <c r="B64" s="14" t="s">
        <v>128</v>
      </c>
      <c r="C64" s="14" t="s">
        <v>128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91FE-694F-4672-A10F-909E4950838F}">
  <dimension ref="A1:J61"/>
  <sheetViews>
    <sheetView tabSelected="1" topLeftCell="A18" workbookViewId="0">
      <selection activeCell="C32" sqref="C32"/>
    </sheetView>
  </sheetViews>
  <sheetFormatPr defaultRowHeight="14.5" x14ac:dyDescent="0.35"/>
  <cols>
    <col min="1" max="1" width="19.36328125" customWidth="1"/>
    <col min="2" max="2" width="32.36328125" bestFit="1" customWidth="1"/>
    <col min="3" max="3" width="25.6328125" bestFit="1" customWidth="1"/>
    <col min="4" max="4" width="25.1796875" bestFit="1" customWidth="1"/>
    <col min="6" max="6" width="14.36328125" bestFit="1" customWidth="1"/>
  </cols>
  <sheetData>
    <row r="1" spans="1:8" x14ac:dyDescent="0.35">
      <c r="A1" s="26" t="s">
        <v>105</v>
      </c>
    </row>
    <row r="2" spans="1:8" x14ac:dyDescent="0.35">
      <c r="A2" s="27" t="s">
        <v>106</v>
      </c>
      <c r="B2" s="27"/>
      <c r="C2" s="27"/>
    </row>
    <row r="3" spans="1:8" x14ac:dyDescent="0.35">
      <c r="A3" s="27" t="s">
        <v>107</v>
      </c>
      <c r="B3" s="27"/>
      <c r="C3" s="27"/>
    </row>
    <row r="5" spans="1:8" x14ac:dyDescent="0.35">
      <c r="A5" s="26" t="s">
        <v>108</v>
      </c>
    </row>
    <row r="6" spans="1:8" x14ac:dyDescent="0.35">
      <c r="A6" s="27" t="s">
        <v>109</v>
      </c>
      <c r="B6" s="27"/>
      <c r="C6" s="27"/>
      <c r="D6" s="27"/>
      <c r="G6" s="28" t="s">
        <v>112</v>
      </c>
    </row>
    <row r="7" spans="1:8" x14ac:dyDescent="0.35">
      <c r="A7" s="27" t="s">
        <v>110</v>
      </c>
      <c r="B7" s="27"/>
      <c r="C7" s="27"/>
      <c r="D7" s="27"/>
      <c r="G7" s="28" t="s">
        <v>113</v>
      </c>
    </row>
    <row r="8" spans="1:8" x14ac:dyDescent="0.35">
      <c r="A8" s="27"/>
      <c r="B8" s="27" t="s">
        <v>111</v>
      </c>
      <c r="C8" s="27"/>
      <c r="D8" s="27"/>
      <c r="G8" s="25" t="s">
        <v>114</v>
      </c>
    </row>
    <row r="11" spans="1:8" x14ac:dyDescent="0.35">
      <c r="A11" s="29" t="s">
        <v>92</v>
      </c>
    </row>
    <row r="12" spans="1:8" x14ac:dyDescent="0.35">
      <c r="A12" s="17" t="s">
        <v>95</v>
      </c>
      <c r="B12" s="17" t="s">
        <v>96</v>
      </c>
      <c r="C12" s="18" t="s">
        <v>2</v>
      </c>
      <c r="D12" s="18" t="s">
        <v>3</v>
      </c>
      <c r="E12" s="18" t="s">
        <v>4</v>
      </c>
      <c r="F12" s="18" t="s">
        <v>6</v>
      </c>
      <c r="G12" s="18" t="s">
        <v>7</v>
      </c>
      <c r="H12" s="18" t="s">
        <v>71</v>
      </c>
    </row>
    <row r="13" spans="1:8" x14ac:dyDescent="0.35">
      <c r="A13" s="16">
        <v>1</v>
      </c>
      <c r="B13" s="16">
        <v>10101</v>
      </c>
      <c r="C13" s="19">
        <v>30</v>
      </c>
      <c r="D13" s="19">
        <v>202</v>
      </c>
      <c r="E13" s="19">
        <v>6060</v>
      </c>
      <c r="F13" s="21">
        <v>37704</v>
      </c>
      <c r="G13" s="19" t="s">
        <v>8</v>
      </c>
      <c r="H13" s="19" t="s">
        <v>72</v>
      </c>
    </row>
    <row r="14" spans="1:8" x14ac:dyDescent="0.35">
      <c r="A14" s="16">
        <v>2</v>
      </c>
      <c r="B14" s="16">
        <v>10102</v>
      </c>
      <c r="C14" s="19">
        <v>34</v>
      </c>
      <c r="D14" s="19">
        <v>550</v>
      </c>
      <c r="E14" s="19">
        <v>18700</v>
      </c>
      <c r="F14" s="21">
        <v>37807</v>
      </c>
      <c r="G14" s="19" t="s">
        <v>9</v>
      </c>
      <c r="H14" s="19" t="s">
        <v>73</v>
      </c>
    </row>
    <row r="15" spans="1:8" x14ac:dyDescent="0.35">
      <c r="A15" s="16">
        <v>3</v>
      </c>
      <c r="B15" s="16">
        <v>10103</v>
      </c>
      <c r="C15" s="19">
        <v>41</v>
      </c>
      <c r="D15" s="19">
        <v>420</v>
      </c>
      <c r="E15" s="19">
        <v>17220</v>
      </c>
      <c r="F15" s="21">
        <v>37628</v>
      </c>
      <c r="G15" s="19" t="s">
        <v>8</v>
      </c>
      <c r="H15" s="19" t="s">
        <v>73</v>
      </c>
    </row>
    <row r="16" spans="1:8" x14ac:dyDescent="0.35">
      <c r="A16" s="16">
        <v>4</v>
      </c>
      <c r="B16" s="16">
        <v>10104</v>
      </c>
      <c r="C16" s="19">
        <v>45</v>
      </c>
      <c r="D16" s="19">
        <v>780</v>
      </c>
      <c r="E16" s="19">
        <v>35100</v>
      </c>
      <c r="F16" s="21">
        <v>37858</v>
      </c>
      <c r="G16" s="19" t="s">
        <v>10</v>
      </c>
      <c r="H16" s="19" t="s">
        <v>74</v>
      </c>
    </row>
    <row r="17" spans="1:10" x14ac:dyDescent="0.35">
      <c r="A17" s="16">
        <v>5</v>
      </c>
      <c r="B17" s="16">
        <v>10105</v>
      </c>
      <c r="C17" s="19">
        <v>49</v>
      </c>
      <c r="D17" s="19">
        <v>850</v>
      </c>
      <c r="E17" s="19">
        <v>41650</v>
      </c>
      <c r="F17" s="21">
        <v>37904</v>
      </c>
      <c r="G17" s="19" t="s">
        <v>8</v>
      </c>
      <c r="H17" s="19" t="s">
        <v>74</v>
      </c>
    </row>
    <row r="18" spans="1:10" x14ac:dyDescent="0.35">
      <c r="A18" s="16">
        <v>6</v>
      </c>
      <c r="B18" s="16">
        <v>10106</v>
      </c>
      <c r="C18" s="19">
        <v>4</v>
      </c>
      <c r="D18" s="20">
        <v>780</v>
      </c>
      <c r="E18" s="19">
        <v>3120</v>
      </c>
      <c r="F18" s="21">
        <v>38479</v>
      </c>
      <c r="G18" s="19" t="s">
        <v>8</v>
      </c>
      <c r="H18" s="19" t="s">
        <v>72</v>
      </c>
    </row>
    <row r="19" spans="1:10" x14ac:dyDescent="0.35">
      <c r="A19" s="16">
        <v>7</v>
      </c>
      <c r="B19" s="16">
        <v>10106</v>
      </c>
      <c r="C19" s="19">
        <v>4</v>
      </c>
      <c r="D19" s="20">
        <v>850</v>
      </c>
      <c r="E19" s="19">
        <v>3400</v>
      </c>
      <c r="F19" s="21">
        <v>38479</v>
      </c>
      <c r="G19" s="19" t="s">
        <v>8</v>
      </c>
      <c r="H19" s="19" t="s">
        <v>72</v>
      </c>
    </row>
    <row r="20" spans="1:10" x14ac:dyDescent="0.35">
      <c r="A20" s="22"/>
      <c r="B20" s="22"/>
      <c r="D20" s="22"/>
      <c r="E20" s="23"/>
      <c r="F20" s="22"/>
      <c r="G20" s="22"/>
      <c r="H20" s="22"/>
      <c r="I20" s="22"/>
    </row>
    <row r="22" spans="1:10" x14ac:dyDescent="0.35">
      <c r="A22" s="29" t="s">
        <v>94</v>
      </c>
    </row>
    <row r="23" spans="1:10" x14ac:dyDescent="0.35">
      <c r="A23" s="15" t="s">
        <v>11</v>
      </c>
      <c r="B23" s="15" t="s">
        <v>18</v>
      </c>
      <c r="C23" s="15" t="s">
        <v>25</v>
      </c>
      <c r="D23" s="4"/>
      <c r="E23" s="4"/>
      <c r="F23" s="4"/>
      <c r="G23" s="4"/>
      <c r="H23" s="4"/>
      <c r="I23" s="4"/>
      <c r="J23" s="4"/>
    </row>
    <row r="24" spans="1:10" x14ac:dyDescent="0.35">
      <c r="A24" s="19" t="s">
        <v>12</v>
      </c>
      <c r="B24" s="19" t="s">
        <v>19</v>
      </c>
      <c r="C24" s="19">
        <v>200</v>
      </c>
    </row>
    <row r="25" spans="1:10" x14ac:dyDescent="0.35">
      <c r="A25" s="19" t="s">
        <v>13</v>
      </c>
      <c r="B25" s="19" t="s">
        <v>20</v>
      </c>
      <c r="C25" s="19">
        <v>500</v>
      </c>
    </row>
    <row r="26" spans="1:10" x14ac:dyDescent="0.35">
      <c r="A26" s="19" t="s">
        <v>14</v>
      </c>
      <c r="B26" s="19" t="s">
        <v>21</v>
      </c>
      <c r="C26" s="19">
        <v>400</v>
      </c>
    </row>
    <row r="27" spans="1:10" x14ac:dyDescent="0.35">
      <c r="A27" s="19" t="s">
        <v>15</v>
      </c>
      <c r="B27" s="19" t="s">
        <v>22</v>
      </c>
      <c r="C27" s="19">
        <v>800</v>
      </c>
    </row>
    <row r="28" spans="1:10" x14ac:dyDescent="0.35">
      <c r="A28" s="19" t="s">
        <v>16</v>
      </c>
      <c r="B28" s="19" t="s">
        <v>23</v>
      </c>
      <c r="C28" s="19">
        <v>900</v>
      </c>
    </row>
    <row r="33" spans="1:10" x14ac:dyDescent="0.35">
      <c r="A33" s="29" t="s">
        <v>93</v>
      </c>
    </row>
    <row r="34" spans="1:10" x14ac:dyDescent="0.35">
      <c r="A34" s="15" t="s">
        <v>97</v>
      </c>
      <c r="B34" s="15" t="s">
        <v>26</v>
      </c>
      <c r="C34" s="15" t="s">
        <v>33</v>
      </c>
      <c r="D34" s="15" t="s">
        <v>34</v>
      </c>
      <c r="E34" s="15" t="s">
        <v>41</v>
      </c>
      <c r="F34" s="15" t="s">
        <v>42</v>
      </c>
      <c r="G34" s="15" t="s">
        <v>48</v>
      </c>
      <c r="H34" s="15" t="s">
        <v>51</v>
      </c>
      <c r="I34" s="15" t="s">
        <v>52</v>
      </c>
      <c r="J34" s="15" t="s">
        <v>55</v>
      </c>
    </row>
    <row r="35" spans="1:10" x14ac:dyDescent="0.35">
      <c r="A35" s="19" t="s">
        <v>98</v>
      </c>
      <c r="B35" s="19" t="s">
        <v>27</v>
      </c>
      <c r="C35" s="19">
        <v>2125357818</v>
      </c>
      <c r="D35" s="19" t="s">
        <v>35</v>
      </c>
      <c r="E35" s="19"/>
      <c r="F35" s="19" t="s">
        <v>43</v>
      </c>
      <c r="G35" s="19" t="s">
        <v>49</v>
      </c>
      <c r="H35" s="19">
        <v>10022</v>
      </c>
      <c r="I35" s="19" t="s">
        <v>53</v>
      </c>
      <c r="J35" s="19" t="s">
        <v>56</v>
      </c>
    </row>
    <row r="36" spans="1:10" x14ac:dyDescent="0.35">
      <c r="A36" s="19" t="s">
        <v>99</v>
      </c>
      <c r="B36" s="19" t="s">
        <v>28</v>
      </c>
      <c r="C36" s="19">
        <v>2123356666</v>
      </c>
      <c r="D36" s="19" t="s">
        <v>36</v>
      </c>
      <c r="E36" s="19"/>
      <c r="F36" s="19" t="s">
        <v>44</v>
      </c>
      <c r="G36" s="19"/>
      <c r="H36" s="19">
        <v>51100</v>
      </c>
      <c r="I36" s="19" t="s">
        <v>54</v>
      </c>
      <c r="J36" s="19" t="s">
        <v>57</v>
      </c>
    </row>
    <row r="37" spans="1:10" x14ac:dyDescent="0.35">
      <c r="A37" s="19" t="s">
        <v>100</v>
      </c>
      <c r="B37" s="19" t="s">
        <v>29</v>
      </c>
      <c r="C37" s="19">
        <v>2121257800</v>
      </c>
      <c r="D37" s="19" t="s">
        <v>37</v>
      </c>
      <c r="E37" s="19"/>
      <c r="F37" s="19" t="s">
        <v>45</v>
      </c>
      <c r="G37" s="19"/>
      <c r="H37" s="19">
        <v>75508</v>
      </c>
      <c r="I37" s="19" t="s">
        <v>54</v>
      </c>
      <c r="J37" s="19" t="s">
        <v>57</v>
      </c>
    </row>
    <row r="38" spans="1:10" x14ac:dyDescent="0.35">
      <c r="A38" s="19" t="s">
        <v>101</v>
      </c>
      <c r="B38" s="19" t="s">
        <v>30</v>
      </c>
      <c r="C38" s="19">
        <v>6265557265</v>
      </c>
      <c r="D38" s="19" t="s">
        <v>118</v>
      </c>
      <c r="E38" s="19"/>
      <c r="F38" s="19" t="s">
        <v>46</v>
      </c>
      <c r="G38" s="19" t="s">
        <v>50</v>
      </c>
      <c r="H38" s="19">
        <v>90003</v>
      </c>
      <c r="I38" s="19" t="s">
        <v>53</v>
      </c>
      <c r="J38" s="19" t="s">
        <v>56</v>
      </c>
    </row>
    <row r="39" spans="1:10" x14ac:dyDescent="0.35">
      <c r="A39" s="19" t="s">
        <v>102</v>
      </c>
      <c r="B39" s="19" t="s">
        <v>31</v>
      </c>
      <c r="C39" s="19">
        <v>6505551386</v>
      </c>
      <c r="D39" s="19" t="s">
        <v>39</v>
      </c>
      <c r="E39" s="19"/>
      <c r="F39" s="19" t="s">
        <v>47</v>
      </c>
      <c r="G39" s="19" t="s">
        <v>50</v>
      </c>
      <c r="H39" s="19"/>
      <c r="I39" s="19" t="s">
        <v>53</v>
      </c>
      <c r="J39" s="19" t="s">
        <v>56</v>
      </c>
    </row>
    <row r="40" spans="1:10" x14ac:dyDescent="0.35">
      <c r="A40" s="19" t="s">
        <v>103</v>
      </c>
      <c r="B40" s="19" t="s">
        <v>32</v>
      </c>
      <c r="C40" s="19">
        <v>6577771000</v>
      </c>
      <c r="D40" s="19" t="s">
        <v>40</v>
      </c>
      <c r="E40" s="19"/>
      <c r="F40" s="19" t="s">
        <v>45</v>
      </c>
      <c r="G40" s="19"/>
      <c r="H40" s="19">
        <v>75016</v>
      </c>
      <c r="I40" s="19" t="s">
        <v>54</v>
      </c>
      <c r="J40" s="19" t="s">
        <v>57</v>
      </c>
    </row>
    <row r="43" spans="1:10" x14ac:dyDescent="0.35">
      <c r="A43" s="29" t="s">
        <v>126</v>
      </c>
    </row>
    <row r="44" spans="1:10" x14ac:dyDescent="0.35">
      <c r="A44" s="30" t="s">
        <v>119</v>
      </c>
      <c r="B44" s="30" t="s">
        <v>64</v>
      </c>
      <c r="C44" s="30" t="s">
        <v>65</v>
      </c>
    </row>
    <row r="45" spans="1:10" x14ac:dyDescent="0.35">
      <c r="A45" s="19" t="s">
        <v>120</v>
      </c>
      <c r="B45" s="19" t="s">
        <v>58</v>
      </c>
      <c r="C45" s="19" t="s">
        <v>66</v>
      </c>
    </row>
    <row r="46" spans="1:10" x14ac:dyDescent="0.35">
      <c r="A46" s="19" t="s">
        <v>121</v>
      </c>
      <c r="B46" s="19" t="s">
        <v>59</v>
      </c>
      <c r="C46" s="19" t="s">
        <v>67</v>
      </c>
    </row>
    <row r="47" spans="1:10" x14ac:dyDescent="0.35">
      <c r="A47" s="19" t="s">
        <v>122</v>
      </c>
      <c r="B47" s="19" t="s">
        <v>60</v>
      </c>
      <c r="C47" s="19" t="s">
        <v>68</v>
      </c>
    </row>
    <row r="48" spans="1:10" x14ac:dyDescent="0.35">
      <c r="A48" s="19" t="s">
        <v>123</v>
      </c>
      <c r="B48" s="19" t="s">
        <v>61</v>
      </c>
      <c r="C48" s="19" t="s">
        <v>69</v>
      </c>
    </row>
    <row r="49" spans="1:4" x14ac:dyDescent="0.35">
      <c r="A49" s="19" t="s">
        <v>124</v>
      </c>
      <c r="B49" s="19" t="s">
        <v>62</v>
      </c>
      <c r="C49" s="19" t="s">
        <v>69</v>
      </c>
    </row>
    <row r="50" spans="1:4" x14ac:dyDescent="0.35">
      <c r="A50" s="19" t="s">
        <v>125</v>
      </c>
      <c r="B50" s="19" t="s">
        <v>63</v>
      </c>
      <c r="C50" s="19" t="s">
        <v>70</v>
      </c>
    </row>
    <row r="52" spans="1:4" x14ac:dyDescent="0.35">
      <c r="A52" s="29" t="s">
        <v>104</v>
      </c>
    </row>
    <row r="53" spans="1:4" x14ac:dyDescent="0.35">
      <c r="A53" s="24" t="s">
        <v>95</v>
      </c>
      <c r="B53" s="24" t="s">
        <v>11</v>
      </c>
      <c r="C53" s="24" t="s">
        <v>97</v>
      </c>
      <c r="D53" s="24" t="s">
        <v>119</v>
      </c>
    </row>
    <row r="54" spans="1:4" x14ac:dyDescent="0.35">
      <c r="A54">
        <v>1</v>
      </c>
      <c r="B54" t="s">
        <v>12</v>
      </c>
      <c r="C54" t="s">
        <v>98</v>
      </c>
      <c r="D54" t="s">
        <v>120</v>
      </c>
    </row>
    <row r="55" spans="1:4" x14ac:dyDescent="0.35">
      <c r="A55">
        <v>2</v>
      </c>
      <c r="B55" t="s">
        <v>13</v>
      </c>
      <c r="C55" t="s">
        <v>99</v>
      </c>
      <c r="D55" t="s">
        <v>121</v>
      </c>
    </row>
    <row r="56" spans="1:4" x14ac:dyDescent="0.35">
      <c r="A56">
        <v>3</v>
      </c>
      <c r="B56" t="s">
        <v>14</v>
      </c>
      <c r="C56" t="s">
        <v>100</v>
      </c>
      <c r="D56" t="s">
        <v>122</v>
      </c>
    </row>
    <row r="57" spans="1:4" x14ac:dyDescent="0.35">
      <c r="A57">
        <v>4</v>
      </c>
      <c r="B57" t="s">
        <v>15</v>
      </c>
      <c r="C57" t="s">
        <v>101</v>
      </c>
      <c r="D57" t="s">
        <v>123</v>
      </c>
    </row>
    <row r="58" spans="1:4" x14ac:dyDescent="0.35">
      <c r="A58">
        <v>5</v>
      </c>
      <c r="B58" t="s">
        <v>16</v>
      </c>
      <c r="C58" t="s">
        <v>102</v>
      </c>
      <c r="D58" t="s">
        <v>124</v>
      </c>
    </row>
    <row r="59" spans="1:4" x14ac:dyDescent="0.35">
      <c r="A59">
        <v>6</v>
      </c>
      <c r="B59" t="s">
        <v>15</v>
      </c>
      <c r="C59" t="s">
        <v>103</v>
      </c>
      <c r="D59" t="s">
        <v>125</v>
      </c>
    </row>
    <row r="60" spans="1:4" x14ac:dyDescent="0.35">
      <c r="A60">
        <v>7</v>
      </c>
      <c r="B60" t="s">
        <v>16</v>
      </c>
      <c r="C60" t="s">
        <v>103</v>
      </c>
      <c r="D60" t="s">
        <v>125</v>
      </c>
    </row>
    <row r="61" spans="1:4" x14ac:dyDescent="0.35">
      <c r="A61" s="14"/>
      <c r="B61" s="14"/>
      <c r="C61" s="14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Denormalized</vt:lpstr>
      <vt:lpstr>1NF</vt:lpstr>
      <vt:lpstr>Sheet2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S</dc:creator>
  <cp:lastModifiedBy>Supreeth Ragavendra S</cp:lastModifiedBy>
  <dcterms:created xsi:type="dcterms:W3CDTF">2024-05-21T16:19:11Z</dcterms:created>
  <dcterms:modified xsi:type="dcterms:W3CDTF">2026-01-02T08:33:25Z</dcterms:modified>
</cp:coreProperties>
</file>